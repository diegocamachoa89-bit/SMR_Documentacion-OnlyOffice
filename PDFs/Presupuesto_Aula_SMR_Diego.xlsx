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<sst xmlns="http://schemas.openxmlformats.org/spreadsheetml/2006/main" count="17" uniqueCount="17">
  <si>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 xml:space="preserve">ID Componente</t>
  </si>
  <si>
    <t>Descripción</t>
  </si>
  <si>
    <t>Cantidad</t>
  </si>
  <si>
    <t xml:space="preserve">Precio Unitario</t>
  </si>
  <si>
    <t>Subtotal</t>
  </si>
  <si>
    <t>IVA</t>
  </si>
  <si>
    <t>TOTAL</t>
  </si>
  <si>
    <t xml:space="preserve">Procesador Intel i7</t>
  </si>
  <si>
    <t xml:space="preserve">Placa base ASUS B550</t>
  </si>
  <si>
    <t xml:space="preserve">RAM 16GB DDR4</t>
  </si>
  <si>
    <t xml:space="preserve">SSD NVMe 1TB</t>
  </si>
  <si>
    <t xml:space="preserve">Tarjeta gráfica RTX 3060</t>
  </si>
  <si>
    <t xml:space="preserve">Fuente de 650W</t>
  </si>
  <si>
    <t xml:space="preserve">Caja ATX</t>
  </si>
  <si>
    <t xml:space="preserve">Ventilador RGB</t>
  </si>
  <si>
    <t xml:space="preserve">Monitor 27" 144Hz</t>
  </si>
  <si>
    <t xml:space="preserve">Teclado mecánico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</si>
</sst>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[$€-A]"/>
  </numFmts>
  <fonts count="4">
    <font>
      <sz val="11.000000"/>
      <color theme="1"/>
      <name val="Calibri"/>
      <scheme val="minor"/>
    </font>
    <font>
      <sz val="11.000000"/>
      <color rgb="FFFA7D00"/>
      <name val="Calibri"/>
      <scheme val="minor"/>
    </font>
    <font>
      <b/>
      <sz val="11.000000"/>
      <color rgb="FFFA7D00"/>
      <name val="Calibri"/>
      <scheme val="minor"/>
    </font>
    <font>
      <sz val="11.000000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none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theme="9" tint="0.39997558519241921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</borders>
  <cellStyleXfs count="5">
    <xf fontId="0" fillId="0" borderId="0" numFmtId="0" applyNumberFormat="1" applyFont="1" applyFill="1" applyBorder="1"/>
    <xf fontId="0" fillId="2" borderId="0" numFmtId="0" applyNumberFormat="0" applyFont="1" applyFill="1" applyBorder="0"/>
    <xf fontId="1" fillId="3" borderId="1" numFmtId="0" applyNumberFormat="0" applyFont="1" applyFill="0" applyBorder="1"/>
    <xf fontId="2" fillId="4" borderId="2" numFmtId="0" applyNumberFormat="0" applyFont="1" applyFill="1" applyBorder="1"/>
    <xf fontId="3" fillId="5" borderId="0" numFmtId="0" applyNumberFormat="0" applyFont="1" applyFill="1" applyBorder="0"/>
  </cellStyleXfs>
  <cellXfs count="9">
    <xf fontId="0" fillId="0" borderId="0" numFmtId="0" xfId="0"/>
    <xf fontId="0" fillId="0" borderId="0" numFmtId="164" xfId="0" applyNumberFormat="1"/>
    <xf fontId="0" fillId="0" borderId="0" numFmtId="0" xfId="0" applyAlignment="1">
      <alignment horizontal="center"/>
    </xf>
    <xf fontId="3" fillId="5" borderId="2" numFmtId="0" xfId="4" applyFont="1" applyFill="1" applyBorder="1" applyAlignment="1">
      <alignment horizontal="center"/>
    </xf>
    <xf fontId="3" fillId="5" borderId="2" numFmtId="164" xfId="4" applyNumberFormat="1" applyFont="1" applyFill="1" applyBorder="1" applyAlignment="1">
      <alignment horizontal="center"/>
    </xf>
    <xf fontId="3" fillId="5" borderId="2" numFmtId="0" xfId="4" applyFont="1" applyFill="1" applyBorder="1"/>
    <xf fontId="3" fillId="5" borderId="2" numFmtId="0" xfId="4" applyFont="1" applyFill="1" applyBorder="1" applyAlignment="1">
      <alignment horizontal="left"/>
    </xf>
    <xf fontId="3" fillId="5" borderId="2" numFmtId="164" xfId="4" applyNumberFormat="1" applyFont="1" applyFill="1" applyBorder="1" applyAlignment="1">
      <alignment horizontal="right"/>
    </xf>
    <xf fontId="3" fillId="5" borderId="2" numFmtId="164" xfId="4" applyNumberFormat="1" applyFont="1" applyFill="1" applyBorder="1"/>
  </cellXfs>
  <cellStyles count="5">
    <cellStyle name="Normal" xfId="0" builtinId="0"/>
    <cellStyle name="20% - Accent1" xfId="1" builtinId="30"/>
    <cellStyle name="Linked Cell" xfId="2" builtinId="24"/>
    <cellStyle name="Calculation" xfId="3" builtinId="22"/>
    <cellStyle name="60% - Accent6" xfId="4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4.28125"/>
    <col bestFit="1" min="2" max="2" width="20.8515625"/>
    <col bestFit="1" min="3" max="3" width="8.421875"/>
    <col bestFit="1" min="4" max="4" style="1" width="13.28125"/>
    <col bestFit="1" min="5" max="5" style="1" width="11.28125"/>
    <col bestFit="1" min="6" max="6" style="1" width="10.28125"/>
    <col bestFit="1" min="7" max="7" style="1" width="11.28125"/>
  </cols>
  <sheetData>
    <row r="1" s="2" customFormat="1" ht="1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4.25">
      <c r="A2" s="5">
        <v>1</v>
      </c>
      <c r="B2" s="6" t="s">
        <v>7</v>
      </c>
      <c r="C2" s="5">
        <v>10</v>
      </c>
      <c r="D2" s="7">
        <v>300</v>
      </c>
      <c r="E2" s="8">
        <f t="shared" ref="E2:E9" si="0">D2*C2</f>
        <v>3000</v>
      </c>
      <c r="F2" s="7">
        <f t="shared" ref="F2:F9" si="1">E2*0.21</f>
        <v>630</v>
      </c>
      <c r="G2" s="8">
        <f t="shared" ref="G2:G9" si="2">SUM(E2+F2)</f>
        <v>3630</v>
      </c>
    </row>
    <row r="3" ht="14.25">
      <c r="A3" s="5">
        <v>2</v>
      </c>
      <c r="B3" s="5" t="s">
        <v>8</v>
      </c>
      <c r="C3" s="5">
        <v>23</v>
      </c>
      <c r="D3" s="8">
        <v>150</v>
      </c>
      <c r="E3" s="8">
        <f t="shared" si="0"/>
        <v>3450</v>
      </c>
      <c r="F3" s="7">
        <f t="shared" si="1"/>
        <v>724.5</v>
      </c>
      <c r="G3" s="8">
        <f t="shared" si="2"/>
        <v>4174.5</v>
      </c>
    </row>
    <row r="4" ht="14.25">
      <c r="A4" s="5">
        <v>3</v>
      </c>
      <c r="B4" s="5" t="s">
        <v>9</v>
      </c>
      <c r="C4" s="5">
        <v>4</v>
      </c>
      <c r="D4" s="8">
        <v>80</v>
      </c>
      <c r="E4" s="8">
        <f t="shared" si="0"/>
        <v>320</v>
      </c>
      <c r="F4" s="7">
        <f t="shared" si="1"/>
        <v>67.200000000000003</v>
      </c>
      <c r="G4" s="8">
        <f t="shared" si="2"/>
        <v>387.19999999999999</v>
      </c>
    </row>
    <row r="5" ht="14.25">
      <c r="A5" s="5">
        <v>4</v>
      </c>
      <c r="B5" s="5" t="s">
        <v>10</v>
      </c>
      <c r="C5" s="5">
        <v>52</v>
      </c>
      <c r="D5" s="8">
        <v>120</v>
      </c>
      <c r="E5" s="8">
        <f t="shared" si="0"/>
        <v>6240</v>
      </c>
      <c r="F5" s="7">
        <f t="shared" si="1"/>
        <v>1310.3999999999999</v>
      </c>
      <c r="G5" s="8">
        <f t="shared" si="2"/>
        <v>7550.3999999999996</v>
      </c>
    </row>
    <row r="6" ht="14.25">
      <c r="A6" s="5">
        <v>5</v>
      </c>
      <c r="B6" s="5" t="s">
        <v>11</v>
      </c>
      <c r="C6" s="5">
        <v>221</v>
      </c>
      <c r="D6" s="8">
        <v>400</v>
      </c>
      <c r="E6" s="8">
        <f t="shared" si="0"/>
        <v>88400</v>
      </c>
      <c r="F6" s="7">
        <f t="shared" si="1"/>
        <v>18564</v>
      </c>
      <c r="G6" s="8">
        <f t="shared" si="2"/>
        <v>106964</v>
      </c>
    </row>
    <row r="7" ht="14.25">
      <c r="A7" s="5">
        <v>6</v>
      </c>
      <c r="B7" s="5" t="s">
        <v>12</v>
      </c>
      <c r="C7" s="5">
        <v>234</v>
      </c>
      <c r="D7" s="8">
        <v>90</v>
      </c>
      <c r="E7" s="8">
        <f t="shared" si="0"/>
        <v>21060</v>
      </c>
      <c r="F7" s="7">
        <f t="shared" si="1"/>
        <v>4422.5999999999995</v>
      </c>
      <c r="G7" s="8">
        <f t="shared" si="2"/>
        <v>25482.599999999999</v>
      </c>
    </row>
    <row r="8" ht="14.25">
      <c r="A8" s="5">
        <v>7</v>
      </c>
      <c r="B8" s="5" t="s">
        <v>13</v>
      </c>
      <c r="C8" s="5">
        <v>434</v>
      </c>
      <c r="D8" s="8">
        <v>70</v>
      </c>
      <c r="E8" s="8">
        <f t="shared" si="0"/>
        <v>30380</v>
      </c>
      <c r="F8" s="7">
        <f t="shared" si="1"/>
        <v>6379.8000000000002</v>
      </c>
      <c r="G8" s="8">
        <f t="shared" si="2"/>
        <v>36759.800000000003</v>
      </c>
    </row>
    <row r="9" ht="14.25">
      <c r="A9" s="5">
        <v>8</v>
      </c>
      <c r="B9" s="5" t="s">
        <v>14</v>
      </c>
      <c r="C9" s="5">
        <v>4355</v>
      </c>
      <c r="D9" s="8">
        <v>15</v>
      </c>
      <c r="E9" s="8">
        <f t="shared" si="0"/>
        <v>65325</v>
      </c>
      <c r="F9" s="7">
        <f t="shared" si="1"/>
        <v>13718.25</v>
      </c>
      <c r="G9" s="8">
        <f t="shared" si="2"/>
        <v>79043.25</v>
      </c>
    </row>
    <row r="10" ht="14.25">
      <c r="A10" s="5">
        <v>9</v>
      </c>
      <c r="B10" s="5" t="s">
        <v>15</v>
      </c>
      <c r="C10" s="5">
        <v>656</v>
      </c>
      <c r="D10" s="8">
        <v>250</v>
      </c>
      <c r="E10" s="8">
        <f t="shared" ref="E10:E11" si="3">D10*C10</f>
        <v>164000</v>
      </c>
      <c r="F10" s="7">
        <f t="shared" ref="F10:F11" si="4">E10*0.21</f>
        <v>34440</v>
      </c>
      <c r="G10" s="8">
        <f t="shared" ref="G10:G11" si="5">SUM(E10+F10)</f>
        <v>198440</v>
      </c>
    </row>
    <row r="11" ht="14.25">
      <c r="A11" s="5">
        <v>10</v>
      </c>
      <c r="B11" s="5" t="s">
        <v>16</v>
      </c>
      <c r="C11" s="5">
        <v>65</v>
      </c>
      <c r="D11" s="8">
        <v>60</v>
      </c>
      <c r="E11" s="8">
        <f t="shared" si="3"/>
        <v>3900</v>
      </c>
      <c r="F11" s="7">
        <f t="shared" si="4"/>
        <v>819</v>
      </c>
      <c r="G11" s="8">
        <f t="shared" si="5"/>
        <v>4719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Camacho</cp:lastModifiedBy>
  <cp:revision>3</cp:revision>
  <dcterms:modified xsi:type="dcterms:W3CDTF">2026-02-23T10:53:26Z</dcterms:modified>
</cp:coreProperties>
</file>